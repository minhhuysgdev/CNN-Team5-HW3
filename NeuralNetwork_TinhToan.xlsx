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atg\Downloads\"/>
    </mc:Choice>
  </mc:AlternateContent>
  <xr:revisionPtr revIDLastSave="0" documentId="13_ncr:1_{874191CA-7EEB-44FC-AF00-BA1D99D2F997}" xr6:coauthVersionLast="47" xr6:coauthVersionMax="47" xr10:uidLastSave="{00000000-0000-0000-0000-000000000000}"/>
  <bookViews>
    <workbookView xWindow="-110" yWindow="-110" windowWidth="21820" windowHeight="13900" tabRatio="500" xr2:uid="{00000000-000D-0000-FFFF-FFFF00000000}"/>
  </bookViews>
  <sheets>
    <sheet name="NN_BinaryClassific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1" l="1"/>
  <c r="B52" i="1"/>
  <c r="B51" i="1"/>
  <c r="B50" i="1"/>
  <c r="B49" i="1"/>
  <c r="C45" i="1"/>
  <c r="B45" i="1"/>
  <c r="C44" i="1"/>
  <c r="B44" i="1"/>
  <c r="C43" i="1"/>
  <c r="B43" i="1"/>
  <c r="C42" i="1"/>
  <c r="B42" i="1"/>
  <c r="D34" i="1"/>
  <c r="D33" i="1"/>
  <c r="D32" i="1"/>
  <c r="D28" i="1"/>
  <c r="D24" i="1"/>
  <c r="F16" i="1"/>
  <c r="F15" i="1"/>
  <c r="F14" i="1"/>
  <c r="G13" i="1"/>
  <c r="F49" i="1" l="1"/>
  <c r="E20" i="1"/>
  <c r="D20" i="1"/>
  <c r="C20" i="1"/>
  <c r="F20" i="1"/>
  <c r="F24" i="1" l="1"/>
  <c r="G24" i="1"/>
  <c r="H49" i="1" s="1"/>
  <c r="E28" i="1"/>
  <c r="E24" i="1"/>
  <c r="G20" i="1"/>
  <c r="C28" i="1"/>
  <c r="G49" i="1"/>
  <c r="E32" i="1" l="1"/>
  <c r="E33" i="1"/>
  <c r="E34" i="1"/>
  <c r="F38" i="1"/>
  <c r="F32" i="1"/>
  <c r="F33" i="1"/>
  <c r="G34" i="1"/>
  <c r="C38" i="1"/>
  <c r="D38" i="1"/>
  <c r="G32" i="1"/>
  <c r="F34" i="1"/>
  <c r="G33" i="1"/>
  <c r="E45" i="1" l="1"/>
  <c r="D45" i="1"/>
  <c r="G45" i="1"/>
  <c r="E52" i="1" s="1"/>
  <c r="F45" i="1"/>
  <c r="C52" i="1"/>
  <c r="D44" i="1"/>
  <c r="E44" i="1"/>
  <c r="F44" i="1"/>
  <c r="G44" i="1"/>
  <c r="E51" i="1" s="1"/>
  <c r="C51" i="1"/>
  <c r="F42" i="1"/>
  <c r="G42" i="1"/>
  <c r="E49" i="1" s="1"/>
  <c r="C49" i="1"/>
  <c r="D42" i="1"/>
  <c r="E42" i="1"/>
  <c r="D43" i="1"/>
  <c r="F43" i="1"/>
  <c r="C50" i="1"/>
  <c r="E43" i="1"/>
  <c r="G43" i="1"/>
  <c r="E50" i="1" s="1"/>
</calcChain>
</file>

<file path=xl/sharedStrings.xml><?xml version="1.0" encoding="utf-8"?>
<sst xmlns="http://schemas.openxmlformats.org/spreadsheetml/2006/main" count="119" uniqueCount="93">
  <si>
    <t>NEURAL NETWORK — VÍ DỤ TÍNH TOÁN MINH HỌA</t>
  </si>
  <si>
    <t>Bài toán: Phân loại Email Spam  |  Dataset: UCI Spambase  |  1 epoch, N=1 mẫu</t>
  </si>
  <si>
    <t>BƯỚC 0: Dữ liệu đầu vào &amp; Khởi tạo tham số</t>
  </si>
  <si>
    <t>Đặc trưng</t>
  </si>
  <si>
    <t>Ký hiệu</t>
  </si>
  <si>
    <t>Giá trị</t>
  </si>
  <si>
    <t>Ý nghĩa</t>
  </si>
  <si>
    <t>Tham số</t>
  </si>
  <si>
    <t>Tần suất từ "free"</t>
  </si>
  <si>
    <t>x₁</t>
  </si>
  <si>
    <t>Đặc trưng 1</t>
  </si>
  <si>
    <t>Trọng số 1</t>
  </si>
  <si>
    <t>w₁</t>
  </si>
  <si>
    <t>Tần suất từ "money"</t>
  </si>
  <si>
    <t>x₂</t>
  </si>
  <si>
    <t>Đặc trưng 2</t>
  </si>
  <si>
    <t>Trọng số 2</t>
  </si>
  <si>
    <t>w₂</t>
  </si>
  <si>
    <t>Tần suất ký tự "!"</t>
  </si>
  <si>
    <t>x₃</t>
  </si>
  <si>
    <t>Đặc trưng 3</t>
  </si>
  <si>
    <t>Trọng số 3</t>
  </si>
  <si>
    <t>w₃</t>
  </si>
  <si>
    <t>Nhãn thực tế (Spam)</t>
  </si>
  <si>
    <t>y</t>
  </si>
  <si>
    <t>1 = Spam, 0 = Không Spam</t>
  </si>
  <si>
    <t>Bias</t>
  </si>
  <si>
    <t>b</t>
  </si>
  <si>
    <t>Learning rate</t>
  </si>
  <si>
    <t>α</t>
  </si>
  <si>
    <t>BƯỚC 1: Tính tổng tuyến tính Z   [Bước 3 trong mã giả — Lan truyền xuôi]</t>
  </si>
  <si>
    <t>Công thức</t>
  </si>
  <si>
    <t>Từng số hạng</t>
  </si>
  <si>
    <t>Giá trị số hạng</t>
  </si>
  <si>
    <t>Tổng Z</t>
  </si>
  <si>
    <t>Z = w₁·x₁ + w₂·x₂ + w₃·x₃ + b</t>
  </si>
  <si>
    <t>w₁ × x₁</t>
  </si>
  <si>
    <t>← Z</t>
  </si>
  <si>
    <t>w₂ × x₂</t>
  </si>
  <si>
    <t>w₃ × x₃</t>
  </si>
  <si>
    <t>b (bias)</t>
  </si>
  <si>
    <t>BƯỚC 2: Tính xác suất A qua hàm Sigmoid   [Bước 4 trong mã giả]</t>
  </si>
  <si>
    <t>Z (từ Bước 1)</t>
  </si>
  <si>
    <t>e^(−Z)</t>
  </si>
  <si>
    <t>1 + e^(−Z)</t>
  </si>
  <si>
    <t>A = σ(Z)</t>
  </si>
  <si>
    <t>Dự đoán</t>
  </si>
  <si>
    <t>A = 1 / (1 + e^(−Z))</t>
  </si>
  <si>
    <t>BƯỚC 3: Tính hàm mất mát Loss (Binary Cross-Entropy)</t>
  </si>
  <si>
    <t>A</t>
  </si>
  <si>
    <t>y·log(A)</t>
  </si>
  <si>
    <t>Loss</t>
  </si>
  <si>
    <t>Loss = −[y·log(A) + (1−y)·log(1−A)]</t>
  </si>
  <si>
    <t>← Loss</t>
  </si>
  <si>
    <t>BƯỚC 4: Tính gradient dZ   [Bước 5 trong mã giả — Lan truyền ngược]</t>
  </si>
  <si>
    <t>A (dự đoán)</t>
  </si>
  <si>
    <t>y (thực tế)</t>
  </si>
  <si>
    <t>dZ = A − y</t>
  </si>
  <si>
    <t>Độ lệch dự đoán vs thực tế</t>
  </si>
  <si>
    <t>BƯỚC 5: Tính gradient dW   [Bước 6 trong mã giả]   dW = (1/N) × (Xᵀ · dZ)</t>
  </si>
  <si>
    <t>Gradient</t>
  </si>
  <si>
    <t>xᵢ</t>
  </si>
  <si>
    <t>dZ</t>
  </si>
  <si>
    <t>(1/N)×xᵢ×dZ</t>
  </si>
  <si>
    <t>Kết quả dWᵢ</t>
  </si>
  <si>
    <t>dw₁</t>
  </si>
  <si>
    <t>(1/1) × x₁ × dZ</t>
  </si>
  <si>
    <t>← dw₁</t>
  </si>
  <si>
    <t>dw₂</t>
  </si>
  <si>
    <t>(1/1) × x₂ × dZ</t>
  </si>
  <si>
    <t>← dw₂</t>
  </si>
  <si>
    <t>dw₃</t>
  </si>
  <si>
    <t>(1/1) × x₃ × dZ</t>
  </si>
  <si>
    <t>← dw₃</t>
  </si>
  <si>
    <t>BƯỚC 6: Tính gradient db   [Bước 7 trong mã giả]   db = (1/N) × SUM(dZ)</t>
  </si>
  <si>
    <t>db = (1/N)×dZ</t>
  </si>
  <si>
    <t>Kết quả db</t>
  </si>
  <si>
    <t>db = (1/N) × SUM(dZ)</t>
  </si>
  <si>
    <t>← db</t>
  </si>
  <si>
    <t>BƯỚC 7: Cập nhật trọng số   [Bước 8, 9 trong mã giả]   W ← W − α×dW  |  b ← b − α×db</t>
  </si>
  <si>
    <t>Giá trị ban đầu</t>
  </si>
  <si>
    <t>α (learning rate)</t>
  </si>
  <si>
    <t>α × gradient</t>
  </si>
  <si>
    <t>Công thức cập nhật</t>
  </si>
  <si>
    <t>Giá trị mới</t>
  </si>
  <si>
    <t>Ghi chú</t>
  </si>
  <si>
    <t>w₁ tăng (dW âm)</t>
  </si>
  <si>
    <t>w₂ tăng (dW âm)</t>
  </si>
  <si>
    <t>w₃ tăng (dW âm)</t>
  </si>
  <si>
    <t>b tăng (db âm)</t>
  </si>
  <si>
    <t>TỔNG HỢP KẾT QUẢ SAU 1 EPOCH</t>
  </si>
  <si>
    <t>Z</t>
  </si>
  <si>
    <t>A (xác suất)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</si>
</sst>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charset val="1"/>
    </font>
    <font>
      <b/>
      <sz val="14"/>
      <color theme="1"/>
      <name val="Times New Roman"/>
      <family val="1"/>
    </font>
    <font>
      <sz val="11"/>
      <color theme="1"/>
      <name val="Calibri"/>
      <family val="2"/>
      <charset val="163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165" fontId="6" fillId="9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Normal="100" workbookViewId="0">
      <selection activeCell="A11" sqref="A11:H11"/>
    </sheetView>
  </sheetViews>
  <sheetFormatPr defaultColWidth="8.6328125" defaultRowHeight="14.5" x14ac:dyDescent="0.35"/>
  <cols>
    <col min="1" max="1" width="22" style="2" customWidth="1"/>
    <col min="2" max="4" width="14" style="2" customWidth="1"/>
    <col min="5" max="5" width="18.36328125" style="2" customWidth="1"/>
    <col min="6" max="6" width="19.90625" style="2" customWidth="1"/>
    <col min="7" max="8" width="18" style="2" customWidth="1"/>
    <col min="9" max="16384" width="8.6328125" style="2"/>
  </cols>
  <sheetData>
    <row r="1" spans="1:8" ht="27.75" customHeight="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 x14ac:dyDescent="0.35">
      <c r="A2" s="3" t="s">
        <v>1</v>
      </c>
      <c r="B2" s="3"/>
      <c r="C2" s="3"/>
      <c r="D2" s="3"/>
      <c r="E2" s="3"/>
      <c r="F2" s="3"/>
      <c r="G2" s="3"/>
      <c r="H2" s="3"/>
    </row>
    <row r="3" spans="1:8" ht="18" customHeight="1" x14ac:dyDescent="0.35">
      <c r="A3" s="5" t="s">
        <v>2</v>
      </c>
      <c r="B3" s="5"/>
      <c r="C3" s="5"/>
      <c r="D3" s="5"/>
      <c r="E3" s="5"/>
      <c r="F3" s="5"/>
      <c r="G3" s="5"/>
      <c r="H3" s="5"/>
    </row>
    <row r="4" spans="1:8" ht="15.75" customHeight="1" x14ac:dyDescent="0.35">
      <c r="A4" s="6" t="s">
        <v>3</v>
      </c>
      <c r="B4" s="6" t="s">
        <v>4</v>
      </c>
      <c r="C4" s="6" t="s">
        <v>5</v>
      </c>
      <c r="D4" s="7" t="s">
        <v>6</v>
      </c>
      <c r="E4" s="7"/>
      <c r="F4" s="8" t="s">
        <v>7</v>
      </c>
      <c r="G4" s="8" t="s">
        <v>4</v>
      </c>
      <c r="H4" s="8" t="s">
        <v>5</v>
      </c>
    </row>
    <row r="5" spans="1:8" ht="15" customHeight="1" x14ac:dyDescent="0.35">
      <c r="A5" s="9" t="s">
        <v>8</v>
      </c>
      <c r="B5" s="10" t="s">
        <v>9</v>
      </c>
      <c r="C5" s="11">
        <v>2</v>
      </c>
      <c r="D5" s="12" t="s">
        <v>10</v>
      </c>
      <c r="E5" s="12"/>
      <c r="F5" s="9" t="s">
        <v>11</v>
      </c>
      <c r="G5" s="10" t="s">
        <v>12</v>
      </c>
      <c r="H5" s="13">
        <v>0.1</v>
      </c>
    </row>
    <row r="6" spans="1:8" ht="15" customHeight="1" x14ac:dyDescent="0.35">
      <c r="A6" s="9" t="s">
        <v>13</v>
      </c>
      <c r="B6" s="10" t="s">
        <v>14</v>
      </c>
      <c r="C6" s="11">
        <v>1.5</v>
      </c>
      <c r="D6" s="12" t="s">
        <v>15</v>
      </c>
      <c r="E6" s="12"/>
      <c r="F6" s="9" t="s">
        <v>16</v>
      </c>
      <c r="G6" s="10" t="s">
        <v>17</v>
      </c>
      <c r="H6" s="13">
        <v>-0.1</v>
      </c>
    </row>
    <row r="7" spans="1:8" ht="15" customHeight="1" x14ac:dyDescent="0.35">
      <c r="A7" s="9" t="s">
        <v>18</v>
      </c>
      <c r="B7" s="10" t="s">
        <v>19</v>
      </c>
      <c r="C7" s="11">
        <v>3</v>
      </c>
      <c r="D7" s="12" t="s">
        <v>20</v>
      </c>
      <c r="E7" s="12"/>
      <c r="F7" s="9" t="s">
        <v>21</v>
      </c>
      <c r="G7" s="10" t="s">
        <v>22</v>
      </c>
      <c r="H7" s="13">
        <v>0.2</v>
      </c>
    </row>
    <row r="8" spans="1:8" ht="15" customHeight="1" x14ac:dyDescent="0.35">
      <c r="A8" s="9" t="s">
        <v>23</v>
      </c>
      <c r="B8" s="10" t="s">
        <v>24</v>
      </c>
      <c r="C8" s="14">
        <v>1</v>
      </c>
      <c r="D8" s="12" t="s">
        <v>25</v>
      </c>
      <c r="E8" s="12"/>
      <c r="F8" s="9" t="s">
        <v>26</v>
      </c>
      <c r="G8" s="10" t="s">
        <v>27</v>
      </c>
      <c r="H8" s="13">
        <v>0</v>
      </c>
    </row>
    <row r="9" spans="1:8" ht="15" customHeight="1" x14ac:dyDescent="0.35">
      <c r="A9" s="12"/>
      <c r="B9" s="12"/>
      <c r="C9" s="12"/>
      <c r="D9" s="12"/>
      <c r="E9" s="12"/>
      <c r="F9" s="9" t="s">
        <v>28</v>
      </c>
      <c r="G9" s="10" t="s">
        <v>29</v>
      </c>
      <c r="H9" s="11">
        <v>0.1</v>
      </c>
    </row>
    <row r="10" spans="1:8" ht="15" customHeight="1" x14ac:dyDescent="0.35">
      <c r="A10" s="4"/>
      <c r="B10" s="4"/>
      <c r="C10" s="4"/>
      <c r="D10" s="4"/>
      <c r="E10" s="4"/>
      <c r="F10" s="4"/>
      <c r="G10" s="4"/>
      <c r="H10" s="4"/>
    </row>
    <row r="11" spans="1:8" ht="15" customHeight="1" x14ac:dyDescent="0.35">
      <c r="A11" s="5" t="s">
        <v>30</v>
      </c>
      <c r="B11" s="5"/>
      <c r="C11" s="5"/>
      <c r="D11" s="5"/>
      <c r="E11" s="5"/>
      <c r="F11" s="5"/>
      <c r="G11" s="5"/>
      <c r="H11" s="5"/>
    </row>
    <row r="12" spans="1:8" ht="15.75" customHeight="1" x14ac:dyDescent="0.35">
      <c r="A12" s="7" t="s">
        <v>31</v>
      </c>
      <c r="B12" s="7"/>
      <c r="C12" s="7"/>
      <c r="D12" s="7" t="s">
        <v>32</v>
      </c>
      <c r="E12" s="7"/>
      <c r="F12" s="6" t="s">
        <v>33</v>
      </c>
      <c r="G12" s="7" t="s">
        <v>34</v>
      </c>
      <c r="H12" s="7"/>
    </row>
    <row r="13" spans="1:8" ht="15" customHeight="1" x14ac:dyDescent="0.35">
      <c r="A13" s="15" t="s">
        <v>35</v>
      </c>
      <c r="B13" s="15"/>
      <c r="C13" s="15"/>
      <c r="D13" s="12" t="s">
        <v>36</v>
      </c>
      <c r="E13" s="12"/>
      <c r="F13" s="16">
        <f>H5*C5</f>
        <v>0.2</v>
      </c>
      <c r="G13" s="17">
        <f>H5*C5+H6*C6+H7*C7+H8</f>
        <v>0.65000000000000013</v>
      </c>
      <c r="H13" s="18" t="s">
        <v>37</v>
      </c>
    </row>
    <row r="14" spans="1:8" ht="15" customHeight="1" x14ac:dyDescent="0.35">
      <c r="A14" s="19"/>
      <c r="B14" s="19"/>
      <c r="C14" s="19"/>
      <c r="D14" s="12" t="s">
        <v>38</v>
      </c>
      <c r="E14" s="12"/>
      <c r="F14" s="16">
        <f>H6*C6</f>
        <v>-0.15000000000000002</v>
      </c>
      <c r="G14" s="17"/>
      <c r="H14" s="17"/>
    </row>
    <row r="15" spans="1:8" ht="15" customHeight="1" x14ac:dyDescent="0.35">
      <c r="A15" s="19"/>
      <c r="B15" s="19"/>
      <c r="C15" s="19"/>
      <c r="D15" s="12" t="s">
        <v>39</v>
      </c>
      <c r="E15" s="12"/>
      <c r="F15" s="16">
        <f>H7*C7</f>
        <v>0.60000000000000009</v>
      </c>
      <c r="G15" s="17"/>
      <c r="H15" s="17"/>
    </row>
    <row r="16" spans="1:8" ht="15" customHeight="1" x14ac:dyDescent="0.35">
      <c r="A16" s="19"/>
      <c r="B16" s="19"/>
      <c r="C16" s="19"/>
      <c r="D16" s="12" t="s">
        <v>40</v>
      </c>
      <c r="E16" s="12"/>
      <c r="F16" s="16">
        <f>H8</f>
        <v>0</v>
      </c>
      <c r="G16" s="17"/>
      <c r="H16" s="17"/>
    </row>
    <row r="17" spans="1:8" ht="15" customHeight="1" x14ac:dyDescent="0.35">
      <c r="A17" s="4"/>
      <c r="B17" s="4"/>
      <c r="C17" s="4"/>
      <c r="D17" s="4"/>
      <c r="E17" s="4"/>
      <c r="F17" s="4"/>
      <c r="G17" s="4"/>
      <c r="H17" s="4"/>
    </row>
    <row r="18" spans="1:8" ht="15" customHeight="1" x14ac:dyDescent="0.35">
      <c r="A18" s="5" t="s">
        <v>41</v>
      </c>
      <c r="B18" s="5"/>
      <c r="C18" s="5"/>
      <c r="D18" s="5"/>
      <c r="E18" s="5"/>
      <c r="F18" s="5"/>
      <c r="G18" s="5"/>
      <c r="H18" s="5"/>
    </row>
    <row r="19" spans="1:8" ht="15.75" customHeight="1" x14ac:dyDescent="0.35">
      <c r="A19" s="7" t="s">
        <v>31</v>
      </c>
      <c r="B19" s="7"/>
      <c r="C19" s="6" t="s">
        <v>42</v>
      </c>
      <c r="D19" s="6" t="s">
        <v>43</v>
      </c>
      <c r="E19" s="6" t="s">
        <v>44</v>
      </c>
      <c r="F19" s="6" t="s">
        <v>45</v>
      </c>
      <c r="G19" s="7" t="s">
        <v>46</v>
      </c>
      <c r="H19" s="7"/>
    </row>
    <row r="20" spans="1:8" ht="15" customHeight="1" x14ac:dyDescent="0.35">
      <c r="A20" s="15" t="s">
        <v>47</v>
      </c>
      <c r="B20" s="15"/>
      <c r="C20" s="16">
        <f>G13</f>
        <v>0.65000000000000013</v>
      </c>
      <c r="D20" s="16">
        <f>EXP(-G13)</f>
        <v>0.52204577676101593</v>
      </c>
      <c r="E20" s="16">
        <f>1+EXP(-G13)</f>
        <v>1.5220457767610158</v>
      </c>
      <c r="F20" s="20">
        <f>1/(1+EXP(-G13))</f>
        <v>0.65701046267349883</v>
      </c>
      <c r="G20" s="21" t="str">
        <f>IF(F20&gt;=0.5,"Spam (nhãn 1)","Không Spam (nhãn 0)")</f>
        <v>Spam (nhãn 1)</v>
      </c>
      <c r="H20" s="21"/>
    </row>
    <row r="21" spans="1:8" ht="15" customHeight="1" x14ac:dyDescent="0.35">
      <c r="A21" s="4"/>
      <c r="B21" s="4"/>
      <c r="C21" s="4"/>
      <c r="D21" s="4"/>
      <c r="E21" s="4"/>
      <c r="F21" s="4"/>
      <c r="G21" s="4"/>
      <c r="H21" s="4"/>
    </row>
    <row r="22" spans="1:8" ht="15" customHeight="1" x14ac:dyDescent="0.35">
      <c r="A22" s="5" t="s">
        <v>48</v>
      </c>
      <c r="B22" s="5"/>
      <c r="C22" s="5"/>
      <c r="D22" s="5"/>
      <c r="E22" s="5"/>
      <c r="F22" s="5"/>
      <c r="G22" s="5"/>
      <c r="H22" s="5"/>
    </row>
    <row r="23" spans="1:8" ht="15.75" customHeight="1" x14ac:dyDescent="0.35">
      <c r="A23" s="7" t="s">
        <v>31</v>
      </c>
      <c r="B23" s="7"/>
      <c r="C23" s="7"/>
      <c r="D23" s="6" t="s">
        <v>24</v>
      </c>
      <c r="E23" s="6" t="s">
        <v>49</v>
      </c>
      <c r="F23" s="6" t="s">
        <v>50</v>
      </c>
      <c r="G23" s="7" t="s">
        <v>51</v>
      </c>
      <c r="H23" s="7"/>
    </row>
    <row r="24" spans="1:8" ht="15" customHeight="1" x14ac:dyDescent="0.35">
      <c r="A24" s="15" t="s">
        <v>52</v>
      </c>
      <c r="B24" s="15"/>
      <c r="C24" s="15"/>
      <c r="D24" s="22">
        <f>C8</f>
        <v>1</v>
      </c>
      <c r="E24" s="16">
        <f>F20</f>
        <v>0.65701046267349883</v>
      </c>
      <c r="F24" s="16">
        <f>C8*LN(F20)</f>
        <v>-0.42005533570271514</v>
      </c>
      <c r="G24" s="23">
        <f>-(C8*LN(F20)+(1-C8)*LN(1-F20))</f>
        <v>0.42005533570271514</v>
      </c>
      <c r="H24" s="24" t="s">
        <v>53</v>
      </c>
    </row>
    <row r="25" spans="1:8" ht="15" customHeight="1" x14ac:dyDescent="0.35">
      <c r="A25" s="4"/>
      <c r="B25" s="4"/>
      <c r="C25" s="4"/>
      <c r="D25" s="4"/>
      <c r="E25" s="4"/>
      <c r="F25" s="4"/>
      <c r="G25" s="4"/>
      <c r="H25" s="4"/>
    </row>
    <row r="26" spans="1:8" ht="15" customHeight="1" x14ac:dyDescent="0.35">
      <c r="A26" s="5" t="s">
        <v>54</v>
      </c>
      <c r="B26" s="5"/>
      <c r="C26" s="5"/>
      <c r="D26" s="5"/>
      <c r="E26" s="5"/>
      <c r="F26" s="5"/>
      <c r="G26" s="5"/>
      <c r="H26" s="5"/>
    </row>
    <row r="27" spans="1:8" ht="15.75" customHeight="1" x14ac:dyDescent="0.35">
      <c r="A27" s="7" t="s">
        <v>31</v>
      </c>
      <c r="B27" s="7"/>
      <c r="C27" s="6" t="s">
        <v>55</v>
      </c>
      <c r="D27" s="6" t="s">
        <v>56</v>
      </c>
      <c r="E27" s="7" t="s">
        <v>57</v>
      </c>
      <c r="F27" s="7"/>
      <c r="G27" s="7" t="s">
        <v>6</v>
      </c>
      <c r="H27" s="7"/>
    </row>
    <row r="28" spans="1:8" ht="15" customHeight="1" x14ac:dyDescent="0.35">
      <c r="A28" s="15" t="s">
        <v>57</v>
      </c>
      <c r="B28" s="15"/>
      <c r="C28" s="16">
        <f>F20</f>
        <v>0.65701046267349883</v>
      </c>
      <c r="D28" s="22">
        <f>C8</f>
        <v>1</v>
      </c>
      <c r="E28" s="17">
        <f>F20-C8</f>
        <v>-0.34298953732650117</v>
      </c>
      <c r="F28" s="17"/>
      <c r="G28" s="19" t="s">
        <v>58</v>
      </c>
      <c r="H28" s="19"/>
    </row>
    <row r="29" spans="1:8" ht="15" customHeight="1" x14ac:dyDescent="0.35">
      <c r="A29" s="4"/>
      <c r="B29" s="4"/>
      <c r="C29" s="4"/>
      <c r="D29" s="4"/>
      <c r="E29" s="4"/>
      <c r="F29" s="4"/>
      <c r="G29" s="4"/>
      <c r="H29" s="4"/>
    </row>
    <row r="30" spans="1:8" ht="15" customHeight="1" x14ac:dyDescent="0.35">
      <c r="A30" s="5" t="s">
        <v>59</v>
      </c>
      <c r="B30" s="5"/>
      <c r="C30" s="5"/>
      <c r="D30" s="5"/>
      <c r="E30" s="5"/>
      <c r="F30" s="5"/>
      <c r="G30" s="5"/>
      <c r="H30" s="5"/>
    </row>
    <row r="31" spans="1:8" ht="15.75" customHeight="1" x14ac:dyDescent="0.35">
      <c r="A31" s="6" t="s">
        <v>60</v>
      </c>
      <c r="B31" s="7" t="s">
        <v>31</v>
      </c>
      <c r="C31" s="7"/>
      <c r="D31" s="6" t="s">
        <v>61</v>
      </c>
      <c r="E31" s="6" t="s">
        <v>62</v>
      </c>
      <c r="F31" s="6" t="s">
        <v>63</v>
      </c>
      <c r="G31" s="7" t="s">
        <v>64</v>
      </c>
      <c r="H31" s="7"/>
    </row>
    <row r="32" spans="1:8" ht="15" customHeight="1" x14ac:dyDescent="0.35">
      <c r="A32" s="25" t="s">
        <v>65</v>
      </c>
      <c r="B32" s="26" t="s">
        <v>66</v>
      </c>
      <c r="C32" s="26"/>
      <c r="D32" s="27">
        <f>C5</f>
        <v>2</v>
      </c>
      <c r="E32" s="16">
        <f>E28</f>
        <v>-0.34298953732650117</v>
      </c>
      <c r="F32" s="16">
        <f>(1/1)*C5*E28</f>
        <v>-0.68597907465300234</v>
      </c>
      <c r="G32" s="20">
        <f>(1/1)*C5*E28</f>
        <v>-0.68597907465300234</v>
      </c>
      <c r="H32" s="28" t="s">
        <v>67</v>
      </c>
    </row>
    <row r="33" spans="1:8" ht="15" customHeight="1" x14ac:dyDescent="0.35">
      <c r="A33" s="25" t="s">
        <v>68</v>
      </c>
      <c r="B33" s="26" t="s">
        <v>69</v>
      </c>
      <c r="C33" s="26"/>
      <c r="D33" s="27">
        <f>C6</f>
        <v>1.5</v>
      </c>
      <c r="E33" s="16">
        <f>E28</f>
        <v>-0.34298953732650117</v>
      </c>
      <c r="F33" s="16">
        <f>(1/1)*C6*E28</f>
        <v>-0.5144843059897517</v>
      </c>
      <c r="G33" s="20">
        <f>(1/1)*C6*E28</f>
        <v>-0.5144843059897517</v>
      </c>
      <c r="H33" s="28" t="s">
        <v>70</v>
      </c>
    </row>
    <row r="34" spans="1:8" ht="15" customHeight="1" x14ac:dyDescent="0.35">
      <c r="A34" s="25" t="s">
        <v>71</v>
      </c>
      <c r="B34" s="26" t="s">
        <v>72</v>
      </c>
      <c r="C34" s="26"/>
      <c r="D34" s="27">
        <f>C7</f>
        <v>3</v>
      </c>
      <c r="E34" s="16">
        <f>E28</f>
        <v>-0.34298953732650117</v>
      </c>
      <c r="F34" s="16">
        <f>(1/1)*C7*E28</f>
        <v>-1.0289686119795034</v>
      </c>
      <c r="G34" s="20">
        <f>(1/1)*C7*E28</f>
        <v>-1.0289686119795034</v>
      </c>
      <c r="H34" s="28" t="s">
        <v>73</v>
      </c>
    </row>
    <row r="35" spans="1:8" ht="15" customHeight="1" x14ac:dyDescent="0.35">
      <c r="A35" s="4"/>
      <c r="B35" s="4"/>
      <c r="C35" s="4"/>
      <c r="D35" s="4"/>
      <c r="E35" s="4"/>
      <c r="F35" s="4"/>
      <c r="G35" s="4"/>
      <c r="H35" s="4"/>
    </row>
    <row r="36" spans="1:8" ht="15" customHeight="1" x14ac:dyDescent="0.35">
      <c r="A36" s="5" t="s">
        <v>74</v>
      </c>
      <c r="B36" s="5"/>
      <c r="C36" s="5"/>
      <c r="D36" s="5"/>
      <c r="E36" s="5"/>
      <c r="F36" s="5"/>
      <c r="G36" s="5"/>
      <c r="H36" s="5"/>
    </row>
    <row r="37" spans="1:8" ht="15.75" customHeight="1" x14ac:dyDescent="0.35">
      <c r="A37" s="7" t="s">
        <v>31</v>
      </c>
      <c r="B37" s="7"/>
      <c r="C37" s="6" t="s">
        <v>62</v>
      </c>
      <c r="D37" s="7" t="s">
        <v>75</v>
      </c>
      <c r="E37" s="7"/>
      <c r="F37" s="7" t="s">
        <v>76</v>
      </c>
      <c r="G37" s="7"/>
      <c r="H37" s="7"/>
    </row>
    <row r="38" spans="1:8" ht="15" customHeight="1" x14ac:dyDescent="0.35">
      <c r="A38" s="15" t="s">
        <v>77</v>
      </c>
      <c r="B38" s="15"/>
      <c r="C38" s="16">
        <f>E28</f>
        <v>-0.34298953732650117</v>
      </c>
      <c r="D38" s="29">
        <f>(1/1)*E28</f>
        <v>-0.34298953732650117</v>
      </c>
      <c r="E38" s="29"/>
      <c r="F38" s="20">
        <f>(1/1)*E28</f>
        <v>-0.34298953732650117</v>
      </c>
      <c r="G38" s="18" t="s">
        <v>78</v>
      </c>
      <c r="H38" s="18"/>
    </row>
    <row r="39" spans="1:8" ht="15" customHeight="1" x14ac:dyDescent="0.35">
      <c r="A39" s="4"/>
      <c r="B39" s="4"/>
      <c r="C39" s="4"/>
      <c r="D39" s="4"/>
      <c r="E39" s="4"/>
      <c r="F39" s="4"/>
      <c r="G39" s="4"/>
      <c r="H39" s="4"/>
    </row>
    <row r="40" spans="1:8" ht="15" customHeight="1" x14ac:dyDescent="0.35">
      <c r="A40" s="5" t="s">
        <v>79</v>
      </c>
      <c r="B40" s="5"/>
      <c r="C40" s="5"/>
      <c r="D40" s="5"/>
      <c r="E40" s="5"/>
      <c r="F40" s="5"/>
      <c r="G40" s="5"/>
      <c r="H40" s="5"/>
    </row>
    <row r="41" spans="1:8" ht="15.75" customHeight="1" x14ac:dyDescent="0.35">
      <c r="A41" s="6" t="s">
        <v>7</v>
      </c>
      <c r="B41" s="6" t="s">
        <v>80</v>
      </c>
      <c r="C41" s="6" t="s">
        <v>81</v>
      </c>
      <c r="D41" s="6" t="s">
        <v>60</v>
      </c>
      <c r="E41" s="6" t="s">
        <v>82</v>
      </c>
      <c r="F41" s="6" t="s">
        <v>83</v>
      </c>
      <c r="G41" s="8" t="s">
        <v>84</v>
      </c>
      <c r="H41" s="8" t="s">
        <v>85</v>
      </c>
    </row>
    <row r="42" spans="1:8" ht="15" customHeight="1" x14ac:dyDescent="0.35">
      <c r="A42" s="25" t="s">
        <v>12</v>
      </c>
      <c r="B42" s="30">
        <f>H5</f>
        <v>0.1</v>
      </c>
      <c r="C42" s="31">
        <f>H9</f>
        <v>0.1</v>
      </c>
      <c r="D42" s="30">
        <f>G32</f>
        <v>-0.68597907465300234</v>
      </c>
      <c r="E42" s="30">
        <f>H9*G32</f>
        <v>-6.8597907465300242E-2</v>
      </c>
      <c r="F42" s="16">
        <f>H5-H9*G32</f>
        <v>0.16859790746530023</v>
      </c>
      <c r="G42" s="23">
        <f>H5-H9*G32</f>
        <v>0.16859790746530023</v>
      </c>
      <c r="H42" s="32" t="s">
        <v>86</v>
      </c>
    </row>
    <row r="43" spans="1:8" ht="15" customHeight="1" x14ac:dyDescent="0.35">
      <c r="A43" s="25" t="s">
        <v>17</v>
      </c>
      <c r="B43" s="30">
        <f>H6</f>
        <v>-0.1</v>
      </c>
      <c r="C43" s="31">
        <f>H9</f>
        <v>0.1</v>
      </c>
      <c r="D43" s="30">
        <f>G33</f>
        <v>-0.5144843059897517</v>
      </c>
      <c r="E43" s="30">
        <f>H9*G33</f>
        <v>-5.1448430598975171E-2</v>
      </c>
      <c r="F43" s="16">
        <f>H6-H9*G33</f>
        <v>-4.8551569401024834E-2</v>
      </c>
      <c r="G43" s="23">
        <f>H6-H9*G33</f>
        <v>-4.8551569401024834E-2</v>
      </c>
      <c r="H43" s="32" t="s">
        <v>87</v>
      </c>
    </row>
    <row r="44" spans="1:8" ht="15" customHeight="1" x14ac:dyDescent="0.35">
      <c r="A44" s="25" t="s">
        <v>22</v>
      </c>
      <c r="B44" s="30">
        <f>H7</f>
        <v>0.2</v>
      </c>
      <c r="C44" s="31">
        <f>H9</f>
        <v>0.1</v>
      </c>
      <c r="D44" s="30">
        <f>G34</f>
        <v>-1.0289686119795034</v>
      </c>
      <c r="E44" s="30">
        <f>H9*G34</f>
        <v>-0.10289686119795034</v>
      </c>
      <c r="F44" s="16">
        <f>H7-H9*G34</f>
        <v>0.30289686119795034</v>
      </c>
      <c r="G44" s="23">
        <f>H7-H9*G34</f>
        <v>0.30289686119795034</v>
      </c>
      <c r="H44" s="32" t="s">
        <v>88</v>
      </c>
    </row>
    <row r="45" spans="1:8" ht="15" customHeight="1" x14ac:dyDescent="0.35">
      <c r="A45" s="25" t="s">
        <v>27</v>
      </c>
      <c r="B45" s="30">
        <f>H8</f>
        <v>0</v>
      </c>
      <c r="C45" s="31">
        <f>H9</f>
        <v>0.1</v>
      </c>
      <c r="D45" s="30">
        <f>F38</f>
        <v>-0.34298953732650117</v>
      </c>
      <c r="E45" s="30">
        <f>H9*F38</f>
        <v>-3.4298953732650121E-2</v>
      </c>
      <c r="F45" s="16">
        <f>H8-H9*F38</f>
        <v>3.4298953732650121E-2</v>
      </c>
      <c r="G45" s="23">
        <f>H8-H9*F38</f>
        <v>3.4298953732650121E-2</v>
      </c>
      <c r="H45" s="32" t="s">
        <v>89</v>
      </c>
    </row>
    <row r="46" spans="1:8" ht="15" customHeight="1" x14ac:dyDescent="0.35">
      <c r="A46" s="4"/>
      <c r="B46" s="4"/>
      <c r="C46" s="4"/>
      <c r="D46" s="4"/>
      <c r="E46" s="4"/>
      <c r="F46" s="4"/>
      <c r="G46" s="4"/>
      <c r="H46" s="4"/>
    </row>
    <row r="47" spans="1:8" ht="15" customHeight="1" x14ac:dyDescent="0.35">
      <c r="A47" s="33" t="s">
        <v>90</v>
      </c>
      <c r="B47" s="33"/>
      <c r="C47" s="33"/>
      <c r="D47" s="33"/>
      <c r="E47" s="33"/>
      <c r="F47" s="33"/>
      <c r="G47" s="33"/>
      <c r="H47" s="33"/>
    </row>
    <row r="48" spans="1:8" ht="15.75" customHeight="1" x14ac:dyDescent="0.35">
      <c r="A48" s="8" t="s">
        <v>7</v>
      </c>
      <c r="B48" s="8" t="s">
        <v>80</v>
      </c>
      <c r="C48" s="34" t="s">
        <v>82</v>
      </c>
      <c r="D48" s="34"/>
      <c r="E48" s="8" t="s">
        <v>84</v>
      </c>
      <c r="F48" s="8" t="s">
        <v>91</v>
      </c>
      <c r="G48" s="8" t="s">
        <v>92</v>
      </c>
      <c r="H48" s="8" t="s">
        <v>51</v>
      </c>
    </row>
    <row r="49" spans="1:8" ht="15" customHeight="1" x14ac:dyDescent="0.35">
      <c r="A49" s="9" t="s">
        <v>12</v>
      </c>
      <c r="B49" s="16">
        <f>H5</f>
        <v>0.1</v>
      </c>
      <c r="C49" s="29">
        <f>-H9*G32</f>
        <v>6.8597907465300242E-2</v>
      </c>
      <c r="D49" s="29"/>
      <c r="E49" s="23">
        <f>G42</f>
        <v>0.16859790746530023</v>
      </c>
      <c r="F49" s="29">
        <f>G13</f>
        <v>0.65000000000000013</v>
      </c>
      <c r="G49" s="29">
        <f>F20</f>
        <v>0.65701046267349883</v>
      </c>
      <c r="H49" s="29">
        <f>G24</f>
        <v>0.42005533570271514</v>
      </c>
    </row>
    <row r="50" spans="1:8" ht="15" customHeight="1" x14ac:dyDescent="0.35">
      <c r="A50" s="9" t="s">
        <v>17</v>
      </c>
      <c r="B50" s="16">
        <f>H6</f>
        <v>-0.1</v>
      </c>
      <c r="C50" s="29">
        <f>-H9*G33</f>
        <v>5.1448430598975171E-2</v>
      </c>
      <c r="D50" s="29"/>
      <c r="E50" s="23">
        <f>G43</f>
        <v>-4.8551569401024834E-2</v>
      </c>
      <c r="F50" s="29"/>
      <c r="G50" s="29"/>
      <c r="H50" s="29"/>
    </row>
    <row r="51" spans="1:8" ht="15" customHeight="1" x14ac:dyDescent="0.35">
      <c r="A51" s="9" t="s">
        <v>22</v>
      </c>
      <c r="B51" s="16">
        <f>H7</f>
        <v>0.2</v>
      </c>
      <c r="C51" s="29">
        <f>-H9*G34</f>
        <v>0.10289686119795034</v>
      </c>
      <c r="D51" s="29"/>
      <c r="E51" s="23">
        <f>G44</f>
        <v>0.30289686119795034</v>
      </c>
      <c r="F51" s="29"/>
      <c r="G51" s="29"/>
      <c r="H51" s="29"/>
    </row>
    <row r="52" spans="1:8" ht="15" customHeight="1" x14ac:dyDescent="0.35">
      <c r="A52" s="9" t="s">
        <v>27</v>
      </c>
      <c r="B52" s="16">
        <f>H8</f>
        <v>0</v>
      </c>
      <c r="C52" s="29">
        <f>-H9*F38</f>
        <v>3.4298953732650121E-2</v>
      </c>
      <c r="D52" s="29"/>
      <c r="E52" s="23">
        <f>G45</f>
        <v>3.4298953732650121E-2</v>
      </c>
      <c r="F52" s="29"/>
      <c r="G52" s="29"/>
      <c r="H52" s="29"/>
    </row>
    <row r="53" spans="1:8" ht="15" customHeight="1" x14ac:dyDescent="0.35">
      <c r="A53" s="4"/>
      <c r="B53" s="4"/>
      <c r="C53" s="4"/>
      <c r="D53" s="4"/>
      <c r="E53" s="4"/>
      <c r="F53" s="4"/>
      <c r="G53" s="4"/>
      <c r="H53" s="4"/>
    </row>
  </sheetData>
  <mergeCells count="63">
    <mergeCell ref="C48:D48"/>
    <mergeCell ref="C49:D49"/>
    <mergeCell ref="F49:F52"/>
    <mergeCell ref="G49:G52"/>
    <mergeCell ref="H49:H52"/>
    <mergeCell ref="C50:D50"/>
    <mergeCell ref="C51:D51"/>
    <mergeCell ref="C52:D52"/>
    <mergeCell ref="A38:B38"/>
    <mergeCell ref="D38:E38"/>
    <mergeCell ref="G38:H38"/>
    <mergeCell ref="A40:H40"/>
    <mergeCell ref="A47:H47"/>
    <mergeCell ref="B34:C34"/>
    <mergeCell ref="A36:H36"/>
    <mergeCell ref="A37:B37"/>
    <mergeCell ref="D37:E37"/>
    <mergeCell ref="F37:H37"/>
    <mergeCell ref="A30:H30"/>
    <mergeCell ref="B31:C31"/>
    <mergeCell ref="G31:H31"/>
    <mergeCell ref="B32:C32"/>
    <mergeCell ref="B33:C33"/>
    <mergeCell ref="A27:B27"/>
    <mergeCell ref="E27:F27"/>
    <mergeCell ref="G27:H27"/>
    <mergeCell ref="A28:B28"/>
    <mergeCell ref="E28:F28"/>
    <mergeCell ref="G28:H28"/>
    <mergeCell ref="A22:H22"/>
    <mergeCell ref="A23:C23"/>
    <mergeCell ref="G23:H23"/>
    <mergeCell ref="A24:C24"/>
    <mergeCell ref="A26:H26"/>
    <mergeCell ref="A18:H18"/>
    <mergeCell ref="A19:B19"/>
    <mergeCell ref="G19:H19"/>
    <mergeCell ref="A20:B20"/>
    <mergeCell ref="G20:H20"/>
    <mergeCell ref="A11:H11"/>
    <mergeCell ref="A12:C12"/>
    <mergeCell ref="D12:E12"/>
    <mergeCell ref="G12:H12"/>
    <mergeCell ref="A13:C13"/>
    <mergeCell ref="D13:E13"/>
    <mergeCell ref="G13:G16"/>
    <mergeCell ref="H13:H16"/>
    <mergeCell ref="A14:C14"/>
    <mergeCell ref="D14:E14"/>
    <mergeCell ref="A15:C15"/>
    <mergeCell ref="D15:E15"/>
    <mergeCell ref="A16:C16"/>
    <mergeCell ref="D16:E16"/>
    <mergeCell ref="D6:E6"/>
    <mergeCell ref="D7:E7"/>
    <mergeCell ref="D8:E8"/>
    <mergeCell ref="A9:C9"/>
    <mergeCell ref="D9:E9"/>
    <mergeCell ref="A1:H1"/>
    <mergeCell ref="A2:H2"/>
    <mergeCell ref="A3:H3"/>
    <mergeCell ref="D4:E4"/>
    <mergeCell ref="D5:E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NN_BinaryClassification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Nga Thái</cp:lastModifiedBy>
  <cp:revision>0</cp:revision>
  <dcterms:created xsi:type="dcterms:W3CDTF">2026-06-04T13:54:10Z</dcterms:created>
  <dcterms:modified xsi:type="dcterms:W3CDTF">2026-06-04T14:00:06Z</dcterms:modified>
  <dc:language>en-US</dc:language>
</cp:coreProperties>
</file>