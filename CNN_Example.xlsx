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uynguyen/Documents/research/mutli intentclassification data/"/>
    </mc:Choice>
  </mc:AlternateContent>
  <xr:revisionPtr revIDLastSave="0" documentId="13_ncr:1_{E73D1EDC-1556-FF47-AE29-4E45754EEC75}" xr6:coauthVersionLast="47" xr6:coauthVersionMax="47" xr10:uidLastSave="{00000000-0000-0000-0000-000000000000}"/>
  <bookViews>
    <workbookView xWindow="0" yWindow="760" windowWidth="30240" windowHeight="17620" xr2:uid="{00000000-000D-0000-FFFF-FFFF00000000}"/>
  </bookViews>
  <sheets>
    <sheet name="CNN_ForwardPropa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6" i="1" s="1"/>
  <c r="A11" i="1"/>
  <c r="A16" i="1" s="1"/>
  <c r="B10" i="1"/>
  <c r="B15" i="1" s="1"/>
  <c r="A10" i="1"/>
  <c r="A15" i="1" s="1"/>
  <c r="A20" i="1" l="1"/>
  <c r="D20" i="1" s="1"/>
  <c r="A25" i="1" l="1"/>
  <c r="A24" i="1"/>
  <c r="C24" i="1" s="1"/>
  <c r="C25" i="1"/>
  <c r="A30" i="1" l="1"/>
  <c r="A29" i="1"/>
</calcChain>
</file>

<file path=xl/sharedStrings.xml><?xml version="1.0" encoding="utf-8"?>
<sst xmlns="http://schemas.openxmlformats.org/spreadsheetml/2006/main" count="21" uniqueCount="21">
  <si>
    <t>Input X</t>
  </si>
  <si>
    <t>Kernel K1</t>
  </si>
  <si>
    <t>Bias b1</t>
  </si>
  <si>
    <t>Conv Z1</t>
  </si>
  <si>
    <t>ReLU A1</t>
  </si>
  <si>
    <t>MaxPool P1</t>
  </si>
  <si>
    <t>Flatten v</t>
  </si>
  <si>
    <t>W_fc</t>
  </si>
  <si>
    <t>b_fc</t>
  </si>
  <si>
    <t>s (Logits)</t>
  </si>
  <si>
    <t>e^s</t>
  </si>
  <si>
    <t>Tập Kernal</t>
  </si>
  <si>
    <t>Bước 1: Khởi tạo các tham số</t>
  </si>
  <si>
    <t>Dữ liệu đầu vào</t>
  </si>
  <si>
    <t>Bias convolution</t>
  </si>
  <si>
    <t>Bước 2: Tính Convolution,  sử dụng hàm SUMPRODUCT</t>
  </si>
  <si>
    <t>Bước 3: tính lớp kích hoạt (Activation)</t>
  </si>
  <si>
    <t>Bước 4: Tính lớp Pooling layer</t>
  </si>
  <si>
    <t>Chuyển ma trận thành vector</t>
  </si>
  <si>
    <t>Bước 5: Tính toán logits (điểm số s)</t>
  </si>
  <si>
    <t>Bước 6: Tính output 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</si>
</sst>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theme="1"/>
      <name val="Calibri (Body)"/>
    </font>
    <font>
      <sz val="13"/>
      <color theme="1"/>
      <name val="Calibri (Body)"/>
    </font>
    <font>
      <b/>
      <sz val="13"/>
      <name val="Calibri (Body)"/>
    </font>
    <font>
      <sz val="13"/>
      <color theme="1"/>
      <name val="Calibri"/>
      <family val="2"/>
      <scheme val="minor"/>
    </font>
    <font>
      <b/>
      <sz val="13"/>
      <name val="Calibri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 (Body)"/>
    </font>
    <font>
      <sz val="16"/>
      <color theme="1"/>
      <name val="Calibri (Body)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 (Body)"/>
    </font>
    <font>
      <b/>
      <sz val="16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66841</xdr:colOff>
      <xdr:row>23</xdr:row>
      <xdr:rowOff>9547</xdr:rowOff>
    </xdr:from>
    <xdr:to>
      <xdr:col>1</xdr:col>
      <xdr:colOff>1059924</xdr:colOff>
      <xdr:row>24</xdr:row>
      <xdr:rowOff>162330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4F33DB99-B434-C8E4-2477-A3E10EBEDB13}"/>
            </a:ext>
          </a:extLst>
        </xdr:cNvPr>
        <xdr:cNvSpPr/>
      </xdr:nvSpPr>
      <xdr:spPr>
        <a:xfrm>
          <a:off x="4650300" y="3256164"/>
          <a:ext cx="993083" cy="34376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89" workbookViewId="0">
      <selection activeCell="C34" sqref="C34"/>
    </sheetView>
  </sheetViews>
  <sheetFormatPr baseColWidth="10" defaultColWidth="8.83203125" defaultRowHeight="15" x14ac:dyDescent="0.2"/>
  <cols>
    <col min="1" max="1" width="18.6640625" customWidth="1"/>
    <col min="2" max="2" width="15" customWidth="1"/>
    <col min="3" max="3" width="18.83203125" customWidth="1"/>
    <col min="4" max="8" width="15" customWidth="1"/>
  </cols>
  <sheetData>
    <row r="1" spans="1:12" ht="21" x14ac:dyDescent="0.25">
      <c r="A1" s="6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s="12" customFormat="1" ht="21" x14ac:dyDescent="0.25">
      <c r="A2" s="11" t="s">
        <v>13</v>
      </c>
      <c r="E2" s="13" t="s">
        <v>11</v>
      </c>
      <c r="H2" s="11" t="s">
        <v>14</v>
      </c>
      <c r="J2" s="14" t="s">
        <v>7</v>
      </c>
      <c r="K2" s="14" t="s">
        <v>8</v>
      </c>
    </row>
    <row r="3" spans="1:12" s="10" customFormat="1" ht="21" x14ac:dyDescent="0.25">
      <c r="A3" s="9" t="s">
        <v>0</v>
      </c>
      <c r="E3" s="9" t="s">
        <v>1</v>
      </c>
      <c r="H3" s="9" t="s">
        <v>2</v>
      </c>
      <c r="J3" s="10">
        <v>0.5</v>
      </c>
      <c r="K3" s="10">
        <v>1</v>
      </c>
    </row>
    <row r="4" spans="1:12" ht="17" x14ac:dyDescent="0.2">
      <c r="A4" s="4">
        <v>1</v>
      </c>
      <c r="B4" s="4">
        <v>2</v>
      </c>
      <c r="C4" s="4">
        <v>3</v>
      </c>
      <c r="D4" s="4"/>
      <c r="E4" s="4">
        <v>1</v>
      </c>
      <c r="F4" s="4">
        <v>0</v>
      </c>
      <c r="G4" s="4"/>
      <c r="H4" s="4">
        <v>0</v>
      </c>
      <c r="I4" s="4"/>
      <c r="J4" s="4">
        <v>-0.2</v>
      </c>
      <c r="K4" s="4">
        <v>0</v>
      </c>
      <c r="L4" s="4"/>
    </row>
    <row r="5" spans="1:12" ht="17" x14ac:dyDescent="0.2">
      <c r="A5" s="4">
        <v>4</v>
      </c>
      <c r="B5" s="4">
        <v>5</v>
      </c>
      <c r="C5" s="4">
        <v>6</v>
      </c>
      <c r="D5" s="4"/>
      <c r="E5" s="4">
        <v>0</v>
      </c>
      <c r="F5" s="4">
        <v>1</v>
      </c>
      <c r="G5" s="4"/>
      <c r="H5" s="4"/>
      <c r="I5" s="4"/>
      <c r="J5" s="4"/>
      <c r="K5" s="4"/>
      <c r="L5" s="4"/>
    </row>
    <row r="6" spans="1:12" ht="17" x14ac:dyDescent="0.2">
      <c r="A6" s="4">
        <v>7</v>
      </c>
      <c r="B6" s="4">
        <v>8</v>
      </c>
      <c r="C6" s="4">
        <v>9</v>
      </c>
      <c r="D6" s="4"/>
      <c r="E6" s="4"/>
      <c r="F6" s="4"/>
      <c r="G6" s="4"/>
      <c r="H6" s="4"/>
      <c r="I6" s="4"/>
      <c r="J6" s="4"/>
      <c r="K6" s="4"/>
      <c r="L6" s="4"/>
    </row>
    <row r="7" spans="1:12" ht="17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21" x14ac:dyDescent="0.25">
      <c r="A8" s="8" t="s">
        <v>15</v>
      </c>
      <c r="B8" s="4"/>
      <c r="C8" s="4"/>
      <c r="F8" s="4"/>
      <c r="G8" s="4"/>
      <c r="H8" s="4"/>
      <c r="I8" s="4"/>
      <c r="J8" s="4"/>
      <c r="K8" s="4"/>
      <c r="L8" s="4"/>
    </row>
    <row r="9" spans="1:12" ht="17" x14ac:dyDescent="0.2">
      <c r="A9" s="5" t="s">
        <v>3</v>
      </c>
      <c r="B9" s="4"/>
      <c r="C9" s="4"/>
      <c r="F9" s="4"/>
      <c r="G9" s="4"/>
      <c r="H9" s="4"/>
      <c r="I9" s="4"/>
      <c r="J9" s="4"/>
      <c r="K9" s="4"/>
      <c r="L9" s="4"/>
    </row>
    <row r="10" spans="1:12" ht="17" x14ac:dyDescent="0.2">
      <c r="A10" s="4">
        <f>SUMPRODUCT(A4:B5, $E$4:$F$5) + $H$4</f>
        <v>6</v>
      </c>
      <c r="B10" s="4">
        <f>SUMPRODUCT(B4:C5, $E$4:$F$5) + $H$4</f>
        <v>8</v>
      </c>
      <c r="C10" s="4"/>
      <c r="F10" s="4"/>
      <c r="G10" s="4"/>
      <c r="H10" s="4"/>
      <c r="I10" s="4"/>
      <c r="J10" s="4"/>
      <c r="K10" s="4"/>
      <c r="L10" s="4"/>
    </row>
    <row r="11" spans="1:12" ht="17" x14ac:dyDescent="0.2">
      <c r="A11" s="4">
        <f>SUMPRODUCT(A5:B6, $E$4:$F$5) + $H$4</f>
        <v>12</v>
      </c>
      <c r="B11" s="4">
        <f>SUMPRODUCT(B5:C6, $E$4:$F$5) + $H$4</f>
        <v>14</v>
      </c>
      <c r="C11" s="4"/>
      <c r="F11" s="4"/>
      <c r="G11" s="4"/>
      <c r="H11" s="4"/>
      <c r="I11" s="4"/>
      <c r="J11" s="4"/>
      <c r="K11" s="4"/>
      <c r="L11" s="4"/>
    </row>
    <row r="13" spans="1:12" ht="21" x14ac:dyDescent="0.25">
      <c r="A13" s="6" t="s">
        <v>16</v>
      </c>
      <c r="B13" s="4"/>
    </row>
    <row r="14" spans="1:12" ht="17" x14ac:dyDescent="0.2">
      <c r="A14" s="5" t="s">
        <v>4</v>
      </c>
      <c r="B14" s="4"/>
    </row>
    <row r="15" spans="1:12" ht="17" x14ac:dyDescent="0.2">
      <c r="A15" s="4">
        <f>MAX(0, A10)</f>
        <v>6</v>
      </c>
      <c r="B15" s="4">
        <f>MAX(0, B10)</f>
        <v>8</v>
      </c>
    </row>
    <row r="16" spans="1:12" ht="17" x14ac:dyDescent="0.2">
      <c r="A16" s="4">
        <f>MAX(0, A11)</f>
        <v>12</v>
      </c>
      <c r="B16" s="4">
        <f>MAX(0, B11)</f>
        <v>14</v>
      </c>
    </row>
    <row r="17" spans="1:6" ht="17" x14ac:dyDescent="0.2">
      <c r="A17" s="4"/>
      <c r="B17" s="4"/>
    </row>
    <row r="18" spans="1:6" ht="21" x14ac:dyDescent="0.25">
      <c r="A18" s="6" t="s">
        <v>17</v>
      </c>
      <c r="B18" s="2"/>
      <c r="C18" s="2"/>
      <c r="D18" s="1" t="s">
        <v>18</v>
      </c>
      <c r="E18" s="2"/>
      <c r="F18" s="2"/>
    </row>
    <row r="19" spans="1:6" ht="17" x14ac:dyDescent="0.2">
      <c r="A19" s="3" t="s">
        <v>5</v>
      </c>
      <c r="B19" s="2"/>
      <c r="C19" s="2"/>
      <c r="D19" s="3" t="s">
        <v>6</v>
      </c>
      <c r="E19" s="2"/>
      <c r="F19" s="2"/>
    </row>
    <row r="20" spans="1:6" ht="17" x14ac:dyDescent="0.2">
      <c r="A20" s="2">
        <f>MAX(A15:B16)</f>
        <v>14</v>
      </c>
      <c r="B20" s="2"/>
      <c r="C20" s="2"/>
      <c r="D20" s="2">
        <f>A20</f>
        <v>14</v>
      </c>
      <c r="E20" s="2"/>
      <c r="F20" s="2"/>
    </row>
    <row r="21" spans="1:6" ht="17" x14ac:dyDescent="0.2">
      <c r="A21" s="2"/>
      <c r="B21" s="2"/>
      <c r="C21" s="2"/>
      <c r="D21" s="2"/>
      <c r="E21" s="2"/>
      <c r="F21" s="2"/>
    </row>
    <row r="22" spans="1:6" ht="21" x14ac:dyDescent="0.25">
      <c r="A22" s="6" t="s">
        <v>19</v>
      </c>
      <c r="B22" s="2"/>
      <c r="C22" s="2"/>
    </row>
    <row r="23" spans="1:6" ht="17" x14ac:dyDescent="0.2">
      <c r="A23" s="3" t="s">
        <v>9</v>
      </c>
      <c r="B23" s="2"/>
      <c r="C23" s="3" t="s">
        <v>10</v>
      </c>
    </row>
    <row r="24" spans="1:6" ht="17" x14ac:dyDescent="0.2">
      <c r="A24" s="2">
        <f>J3*$D$20+K3</f>
        <v>8</v>
      </c>
      <c r="B24" s="2"/>
      <c r="C24" s="2">
        <f>EXP(A24)</f>
        <v>2980.9579870417283</v>
      </c>
    </row>
    <row r="25" spans="1:6" ht="17" x14ac:dyDescent="0.2">
      <c r="A25" s="2">
        <f>J4*$D$20+K4</f>
        <v>-2.8000000000000003</v>
      </c>
      <c r="B25" s="2"/>
      <c r="C25" s="2">
        <f>EXP(A25)</f>
        <v>6.0810062625217952E-2</v>
      </c>
    </row>
    <row r="26" spans="1:6" ht="17" x14ac:dyDescent="0.2">
      <c r="A26" s="2"/>
      <c r="B26" s="2"/>
      <c r="C26" s="2"/>
      <c r="D26" s="2"/>
      <c r="E26" s="2"/>
      <c r="F26" s="2"/>
    </row>
    <row r="27" spans="1:6" ht="21" x14ac:dyDescent="0.25">
      <c r="A27" s="7" t="s">
        <v>20</v>
      </c>
      <c r="B27" s="2"/>
      <c r="C27" s="2"/>
      <c r="D27" s="2"/>
      <c r="E27" s="2"/>
      <c r="F27" s="2"/>
    </row>
    <row r="28" spans="1:6" ht="17" x14ac:dyDescent="0.2">
      <c r="A28" s="3"/>
      <c r="B28" s="2"/>
      <c r="C28" s="2"/>
      <c r="D28" s="2"/>
      <c r="E28" s="2"/>
      <c r="F28" s="2"/>
    </row>
    <row r="29" spans="1:6" ht="17" x14ac:dyDescent="0.2">
      <c r="A29" s="2">
        <f>C24/SUM($C$24:$C$25)</f>
        <v>0.99997960091272009</v>
      </c>
      <c r="B29" s="2"/>
      <c r="C29" s="2"/>
      <c r="D29" s="2"/>
      <c r="E29" s="2"/>
      <c r="F29" s="2"/>
    </row>
    <row r="30" spans="1:6" ht="17" x14ac:dyDescent="0.2">
      <c r="A30" s="2">
        <f>C25/SUM($C$24:$C$25)</f>
        <v>2.0399087279921381E-5</v>
      </c>
      <c r="B30" s="2"/>
      <c r="C30" s="2"/>
      <c r="E30" s="2"/>
      <c r="F30" s="2"/>
    </row>
    <row r="31" spans="1:6" ht="17" x14ac:dyDescent="0.2">
      <c r="A31" s="2"/>
      <c r="B31" s="2"/>
      <c r="C31" s="2"/>
      <c r="D31" s="2"/>
      <c r="E31" s="2"/>
      <c r="F31" s="2"/>
    </row>
    <row r="32" spans="1:6" ht="17" x14ac:dyDescent="0.2">
      <c r="A32" s="2"/>
      <c r="B32" s="2"/>
      <c r="C32" s="2"/>
      <c r="D32" s="2"/>
      <c r="E32" s="2"/>
      <c r="F32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CNN_ForwardPropagation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Huỳnh Minh Huy</cp:lastModifiedBy>
  <dcterms:created xsi:type="dcterms:W3CDTF">2026-06-03T14:28:24Z</dcterms:created>
  <dcterms:modified xsi:type="dcterms:W3CDTF">2026-06-04T13:28:06Z</dcterms:modified>
</cp:coreProperties>
</file>